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isv/GitHub/Manifest/"/>
    </mc:Choice>
  </mc:AlternateContent>
  <xr:revisionPtr revIDLastSave="0" documentId="13_ncr:40009_{C960FF9A-90B1-6348-A7BF-0317E84D7D77}" xr6:coauthVersionLast="47" xr6:coauthVersionMax="47" xr10:uidLastSave="{00000000-0000-0000-0000-000000000000}"/>
  <bookViews>
    <workbookView xWindow="380" yWindow="0" windowWidth="28380" windowHeight="18000"/>
  </bookViews>
  <sheets>
    <sheet name="confi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1" l="1"/>
  <c r="S4" i="1"/>
  <c r="R18" i="1"/>
  <c r="R14" i="1"/>
  <c r="R10" i="1"/>
  <c r="R4" i="1"/>
  <c r="H18" i="1"/>
  <c r="S18" i="1" s="1"/>
  <c r="I15" i="1"/>
  <c r="H15" i="1"/>
  <c r="I14" i="1"/>
  <c r="H14" i="1"/>
  <c r="S14" i="1" s="1"/>
  <c r="I18" i="1"/>
</calcChain>
</file>

<file path=xl/sharedStrings.xml><?xml version="1.0" encoding="utf-8"?>
<sst xmlns="http://schemas.openxmlformats.org/spreadsheetml/2006/main" count="57" uniqueCount="44">
  <si>
    <t xml:space="preserve">len </t>
  </si>
  <si>
    <t xml:space="preserve">mintime </t>
  </si>
  <si>
    <t xml:space="preserve">a </t>
  </si>
  <si>
    <t xml:space="preserve">b </t>
  </si>
  <si>
    <t xml:space="preserve">viol_at </t>
  </si>
  <si>
    <t xml:space="preserve">adapt_at </t>
  </si>
  <si>
    <t xml:space="preserve">numTimes_alg1_triggered </t>
  </si>
  <si>
    <t>saved_computations</t>
  </si>
  <si>
    <t>grip</t>
  </si>
  <si>
    <t>lg</t>
  </si>
  <si>
    <t>light</t>
  </si>
  <si>
    <t>lightnew</t>
  </si>
  <si>
    <t xml:space="preserve">Tviol-Tpred </t>
  </si>
  <si>
    <t xml:space="preserve">pred_at </t>
  </si>
  <si>
    <t>184*</t>
  </si>
  <si>
    <t>Tadaptation_before_Tviol (BE zone)</t>
  </si>
  <si>
    <t>Tadaptation_before_Tpred (BE zone)</t>
  </si>
  <si>
    <t>208*</t>
  </si>
  <si>
    <t>*This values do not apply as no violation happen</t>
  </si>
  <si>
    <t>Ideal values</t>
  </si>
  <si>
    <t>time difference between violation and prediction</t>
  </si>
  <si>
    <t>adaptation time</t>
  </si>
  <si>
    <t>Violation</t>
  </si>
  <si>
    <t>Predicted violation</t>
  </si>
  <si>
    <t>NA (no violation)</t>
  </si>
  <si>
    <t>adaptation window (predicted)</t>
  </si>
  <si>
    <t>adaptation window (real)</t>
  </si>
  <si>
    <t>out-ODD pred</t>
  </si>
  <si>
    <t>out-ODD real</t>
  </si>
  <si>
    <t>time difference out ODD real-pred</t>
  </si>
  <si>
    <t>time when out-ODD</t>
  </si>
  <si>
    <t>Predicted time when out-ODD</t>
  </si>
  <si>
    <t>Todd-Tpredodd</t>
  </si>
  <si>
    <t>Explanation</t>
  </si>
  <si>
    <t>20 (mintime) or more</t>
  </si>
  <si>
    <t>189*</t>
  </si>
  <si>
    <t>*This values are the predicted errors intead</t>
  </si>
  <si>
    <t>56*</t>
  </si>
  <si>
    <t>130*</t>
  </si>
  <si>
    <t>71*</t>
  </si>
  <si>
    <t>File</t>
  </si>
  <si>
    <t>Error to report</t>
  </si>
  <si>
    <t>Error in time window</t>
  </si>
  <si>
    <t>Error in 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</si>
</sst>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Menlo"/>
      <family val="2"/>
    </font>
    <font>
      <sz val="12"/>
      <color rgb="FF0070C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3" borderId="0" xfId="0" applyFill="1" applyAlignment="1">
      <alignment horizontal="center"/>
    </xf>
    <xf numFmtId="0" fontId="0" fillId="33" borderId="10" xfId="0" applyFill="1" applyBorder="1" applyAlignment="1">
      <alignment horizontal="center" wrapText="1"/>
    </xf>
    <xf numFmtId="0" fontId="0" fillId="34" borderId="0" xfId="0" applyFill="1" applyAlignment="1">
      <alignment horizontal="center"/>
    </xf>
    <xf numFmtId="0" fontId="18" fillId="0" borderId="0" xfId="0" applyFont="1"/>
    <xf numFmtId="0" fontId="14" fillId="0" borderId="0" xfId="0" applyFont="1" applyAlignment="1">
      <alignment horizontal="center"/>
    </xf>
    <xf numFmtId="0" fontId="0" fillId="34" borderId="11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33" borderId="14" xfId="0" applyFill="1" applyBorder="1" applyAlignment="1">
      <alignment horizont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11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34" borderId="0" xfId="0" applyFont="1" applyFill="1" applyAlignment="1">
      <alignment horizontal="center"/>
    </xf>
    <xf numFmtId="0" fontId="19" fillId="33" borderId="0" xfId="0" applyFont="1" applyFill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wrapText="1"/>
    </xf>
    <xf numFmtId="0" fontId="0" fillId="33" borderId="16" xfId="0" applyFill="1" applyBorder="1" applyAlignment="1">
      <alignment horizontal="center" wrapText="1"/>
    </xf>
    <xf numFmtId="0" fontId="16" fillId="0" borderId="1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27"/>
  <sheetViews>
    <sheetView tabSelected="1" topLeftCell="A2" zoomScale="114" zoomScaleNormal="110" workbookViewId="0">
      <selection activeCell="I27" sqref="I27"/>
    </sheetView>
  </sheetViews>
  <sheetFormatPr baseColWidth="10" defaultRowHeight="16" x14ac:dyDescent="0.2"/>
  <cols>
    <col min="1" max="1" width="3.33203125" customWidth="1"/>
    <col min="2" max="2" width="10.83203125" style="1" bestFit="1" customWidth="1"/>
    <col min="3" max="3" width="3.6640625" style="1" bestFit="1" customWidth="1"/>
    <col min="4" max="4" width="8.1640625" style="1" bestFit="1" customWidth="1"/>
    <col min="5" max="5" width="3.1640625" style="1" customWidth="1"/>
    <col min="6" max="6" width="3.5" style="1" customWidth="1"/>
    <col min="7" max="7" width="10.83203125" style="1"/>
    <col min="8" max="8" width="12" style="1" customWidth="1"/>
    <col min="9" max="9" width="12.5" style="1" customWidth="1"/>
    <col min="10" max="10" width="10.83203125" style="1"/>
    <col min="11" max="11" width="15" style="1" bestFit="1" customWidth="1"/>
    <col min="12" max="12" width="9.83203125" style="1" customWidth="1"/>
    <col min="13" max="13" width="14" style="1" customWidth="1"/>
    <col min="14" max="14" width="18.1640625" style="1" bestFit="1" customWidth="1"/>
    <col min="15" max="15" width="12" style="1" customWidth="1"/>
    <col min="16" max="16" width="11.83203125" style="1" customWidth="1"/>
    <col min="17" max="17" width="12.83203125" bestFit="1" customWidth="1"/>
    <col min="18" max="18" width="10.83203125" style="20"/>
  </cols>
  <sheetData>
    <row r="2" spans="2:19" ht="103" thickBot="1" x14ac:dyDescent="0.25">
      <c r="B2" s="25" t="s">
        <v>33</v>
      </c>
      <c r="C2" s="25"/>
      <c r="D2" s="25"/>
      <c r="E2" s="25"/>
      <c r="F2" s="25"/>
      <c r="G2" s="26" t="s">
        <v>20</v>
      </c>
      <c r="H2" s="26" t="s">
        <v>26</v>
      </c>
      <c r="I2" s="26" t="s">
        <v>25</v>
      </c>
      <c r="J2" s="25" t="s">
        <v>22</v>
      </c>
      <c r="K2" s="26" t="s">
        <v>23</v>
      </c>
      <c r="L2" s="26" t="s">
        <v>21</v>
      </c>
      <c r="M2" s="25"/>
      <c r="N2" s="25"/>
      <c r="O2" s="27" t="s">
        <v>29</v>
      </c>
      <c r="P2" s="26" t="s">
        <v>30</v>
      </c>
      <c r="Q2" s="26" t="s">
        <v>31</v>
      </c>
      <c r="R2" s="38" t="s">
        <v>41</v>
      </c>
      <c r="S2" s="39"/>
    </row>
    <row r="3" spans="2:19" s="2" customFormat="1" ht="51" x14ac:dyDescent="0.2">
      <c r="B3" s="16" t="s">
        <v>40</v>
      </c>
      <c r="C3" s="16" t="s">
        <v>0</v>
      </c>
      <c r="D3" s="16" t="s">
        <v>1</v>
      </c>
      <c r="E3" s="16" t="s">
        <v>2</v>
      </c>
      <c r="F3" s="16" t="s">
        <v>3</v>
      </c>
      <c r="G3" s="4" t="s">
        <v>12</v>
      </c>
      <c r="H3" s="15" t="s">
        <v>15</v>
      </c>
      <c r="I3" s="15" t="s">
        <v>16</v>
      </c>
      <c r="J3" s="16" t="s">
        <v>4</v>
      </c>
      <c r="K3" s="16" t="s">
        <v>13</v>
      </c>
      <c r="L3" s="16" t="s">
        <v>5</v>
      </c>
      <c r="M3" s="16" t="s">
        <v>6</v>
      </c>
      <c r="N3" s="16" t="s">
        <v>7</v>
      </c>
      <c r="O3" s="17" t="s">
        <v>32</v>
      </c>
      <c r="P3" s="16" t="s">
        <v>28</v>
      </c>
      <c r="Q3" s="16" t="s">
        <v>27</v>
      </c>
      <c r="R3" s="35" t="s">
        <v>43</v>
      </c>
      <c r="S3" s="32" t="s">
        <v>42</v>
      </c>
    </row>
    <row r="4" spans="2:19" x14ac:dyDescent="0.2">
      <c r="B4" s="1" t="s">
        <v>8</v>
      </c>
      <c r="C4" s="5">
        <v>10</v>
      </c>
      <c r="D4" s="5">
        <v>20</v>
      </c>
      <c r="E4" s="5">
        <v>4</v>
      </c>
      <c r="F4" s="5">
        <v>4</v>
      </c>
      <c r="G4" s="8">
        <v>47</v>
      </c>
      <c r="H4" s="8">
        <v>68</v>
      </c>
      <c r="I4" s="8">
        <v>21</v>
      </c>
      <c r="J4" s="1">
        <v>124</v>
      </c>
      <c r="K4" s="1">
        <v>77</v>
      </c>
      <c r="L4" s="1">
        <v>56</v>
      </c>
      <c r="M4" s="1">
        <v>26</v>
      </c>
      <c r="N4" s="1">
        <v>88.793103448275801</v>
      </c>
      <c r="O4" s="3"/>
      <c r="Q4" s="12"/>
      <c r="R4" s="36">
        <f>G4</f>
        <v>47</v>
      </c>
      <c r="S4" s="33">
        <f>H4-20</f>
        <v>48</v>
      </c>
    </row>
    <row r="5" spans="2:19" x14ac:dyDescent="0.2">
      <c r="B5" s="1" t="s">
        <v>8</v>
      </c>
      <c r="C5" s="1">
        <v>15</v>
      </c>
      <c r="D5" s="1">
        <v>20</v>
      </c>
      <c r="E5" s="1">
        <v>4</v>
      </c>
      <c r="F5" s="1">
        <v>4</v>
      </c>
      <c r="G5" s="9">
        <v>93</v>
      </c>
      <c r="H5" s="10">
        <v>104</v>
      </c>
      <c r="I5" s="10">
        <v>11</v>
      </c>
      <c r="J5" s="1">
        <v>129</v>
      </c>
      <c r="K5" s="1">
        <v>36</v>
      </c>
      <c r="L5" s="1">
        <v>25</v>
      </c>
      <c r="M5" s="1">
        <v>25</v>
      </c>
      <c r="N5" s="1">
        <v>89.224137931034406</v>
      </c>
      <c r="O5" s="3"/>
      <c r="Q5" s="12"/>
      <c r="R5" s="36"/>
      <c r="S5" s="33"/>
    </row>
    <row r="6" spans="2:19" x14ac:dyDescent="0.2">
      <c r="B6" s="1" t="s">
        <v>8</v>
      </c>
      <c r="C6" s="1">
        <v>15</v>
      </c>
      <c r="D6" s="1">
        <v>20</v>
      </c>
      <c r="E6" s="1">
        <v>4</v>
      </c>
      <c r="F6" s="1">
        <v>5</v>
      </c>
      <c r="G6" s="9">
        <v>59</v>
      </c>
      <c r="H6" s="10">
        <v>80</v>
      </c>
      <c r="I6" s="10">
        <v>21</v>
      </c>
      <c r="J6" s="1">
        <v>129</v>
      </c>
      <c r="K6" s="1">
        <v>70</v>
      </c>
      <c r="L6" s="1">
        <v>49</v>
      </c>
      <c r="M6" s="1">
        <v>26</v>
      </c>
      <c r="N6" s="1">
        <v>88.793103448275801</v>
      </c>
      <c r="O6" s="3"/>
      <c r="Q6" s="12"/>
      <c r="R6" s="36"/>
      <c r="S6" s="33"/>
    </row>
    <row r="7" spans="2:19" x14ac:dyDescent="0.2">
      <c r="B7" s="1" t="s">
        <v>8</v>
      </c>
      <c r="C7" s="1">
        <v>20</v>
      </c>
      <c r="D7" s="1">
        <v>20</v>
      </c>
      <c r="E7" s="1">
        <v>4</v>
      </c>
      <c r="F7" s="1">
        <v>4</v>
      </c>
      <c r="G7" s="9">
        <v>95</v>
      </c>
      <c r="H7" s="10">
        <v>98</v>
      </c>
      <c r="I7" s="10">
        <v>3</v>
      </c>
      <c r="J7" s="1">
        <v>134</v>
      </c>
      <c r="K7" s="1">
        <v>39</v>
      </c>
      <c r="L7" s="1">
        <v>36</v>
      </c>
      <c r="M7" s="1">
        <v>46</v>
      </c>
      <c r="N7" s="1">
        <v>80.172413793103402</v>
      </c>
      <c r="O7" s="3"/>
      <c r="Q7" s="12"/>
      <c r="R7" s="36"/>
      <c r="S7" s="33"/>
    </row>
    <row r="8" spans="2:19" x14ac:dyDescent="0.2">
      <c r="B8" s="1" t="s">
        <v>8</v>
      </c>
      <c r="C8" s="1">
        <v>20</v>
      </c>
      <c r="D8" s="1">
        <v>20</v>
      </c>
      <c r="E8" s="1">
        <v>4</v>
      </c>
      <c r="F8" s="1">
        <v>5</v>
      </c>
      <c r="G8" s="9">
        <v>65</v>
      </c>
      <c r="H8" s="10">
        <v>86</v>
      </c>
      <c r="I8" s="10">
        <v>21</v>
      </c>
      <c r="J8" s="1">
        <v>134</v>
      </c>
      <c r="K8" s="1">
        <v>69</v>
      </c>
      <c r="L8" s="1">
        <v>48</v>
      </c>
      <c r="M8" s="1">
        <v>33</v>
      </c>
      <c r="N8" s="1">
        <v>85.775862068965495</v>
      </c>
      <c r="O8" s="3"/>
      <c r="Q8" s="12"/>
      <c r="R8" s="36"/>
      <c r="S8" s="33"/>
    </row>
    <row r="9" spans="2:19" x14ac:dyDescent="0.2">
      <c r="G9" s="9"/>
      <c r="H9" s="10"/>
      <c r="I9" s="10"/>
      <c r="O9" s="3"/>
      <c r="Q9" s="12"/>
      <c r="R9" s="36"/>
      <c r="S9" s="33"/>
    </row>
    <row r="10" spans="2:19" x14ac:dyDescent="0.2">
      <c r="B10" s="1" t="s">
        <v>9</v>
      </c>
      <c r="C10" s="5">
        <v>10</v>
      </c>
      <c r="D10" s="5">
        <v>20</v>
      </c>
      <c r="E10" s="5">
        <v>4</v>
      </c>
      <c r="F10" s="5">
        <v>4</v>
      </c>
      <c r="G10" s="8">
        <v>20</v>
      </c>
      <c r="H10" s="8">
        <v>33</v>
      </c>
      <c r="I10" s="8">
        <v>13</v>
      </c>
      <c r="J10" s="1">
        <v>111</v>
      </c>
      <c r="K10" s="1">
        <v>91</v>
      </c>
      <c r="L10" s="1">
        <v>78</v>
      </c>
      <c r="M10" s="1">
        <v>5</v>
      </c>
      <c r="N10" s="1">
        <v>97.835497835497804</v>
      </c>
      <c r="O10" s="3"/>
      <c r="Q10" s="12"/>
      <c r="R10" s="36">
        <f>G10</f>
        <v>20</v>
      </c>
      <c r="S10" s="33">
        <f t="shared" ref="S10:S14" si="0">H10-20</f>
        <v>13</v>
      </c>
    </row>
    <row r="11" spans="2:19" x14ac:dyDescent="0.2">
      <c r="B11" s="1" t="s">
        <v>9</v>
      </c>
      <c r="C11" s="1">
        <v>15</v>
      </c>
      <c r="D11" s="1">
        <v>20</v>
      </c>
      <c r="E11" s="1">
        <v>4</v>
      </c>
      <c r="F11" s="1">
        <v>4</v>
      </c>
      <c r="G11" s="9">
        <v>20</v>
      </c>
      <c r="H11" s="10">
        <v>34</v>
      </c>
      <c r="I11" s="10">
        <v>14</v>
      </c>
      <c r="J11" s="1">
        <v>116</v>
      </c>
      <c r="K11" s="1">
        <v>96</v>
      </c>
      <c r="L11" s="1">
        <v>82</v>
      </c>
      <c r="M11" s="1">
        <v>8</v>
      </c>
      <c r="N11" s="1">
        <v>96.536796536796501</v>
      </c>
      <c r="O11" s="3"/>
      <c r="Q11" s="12"/>
      <c r="R11" s="36"/>
      <c r="S11" s="33"/>
    </row>
    <row r="12" spans="2:19" x14ac:dyDescent="0.2">
      <c r="B12" s="1" t="s">
        <v>9</v>
      </c>
      <c r="C12" s="1">
        <v>20</v>
      </c>
      <c r="D12" s="1">
        <v>20</v>
      </c>
      <c r="E12" s="1">
        <v>4</v>
      </c>
      <c r="F12" s="1">
        <v>4</v>
      </c>
      <c r="G12" s="9">
        <v>20</v>
      </c>
      <c r="H12" s="10">
        <v>25</v>
      </c>
      <c r="I12" s="10">
        <v>5</v>
      </c>
      <c r="J12" s="1">
        <v>121</v>
      </c>
      <c r="K12" s="1">
        <v>101</v>
      </c>
      <c r="L12" s="1">
        <v>96</v>
      </c>
      <c r="M12" s="1">
        <v>15</v>
      </c>
      <c r="N12" s="1">
        <v>93.506493506493499</v>
      </c>
      <c r="O12" s="3"/>
      <c r="Q12" s="12"/>
      <c r="R12" s="36"/>
      <c r="S12" s="33"/>
    </row>
    <row r="13" spans="2:19" x14ac:dyDescent="0.2">
      <c r="G13" s="9"/>
      <c r="H13" s="10"/>
      <c r="I13" s="10"/>
      <c r="K13" s="12"/>
      <c r="O13" s="3"/>
      <c r="Q13" s="12"/>
      <c r="R13" s="36"/>
      <c r="S13" s="33"/>
    </row>
    <row r="14" spans="2:19" x14ac:dyDescent="0.2">
      <c r="B14" s="1" t="s">
        <v>10</v>
      </c>
      <c r="C14" s="5">
        <v>10</v>
      </c>
      <c r="D14" s="5">
        <v>20</v>
      </c>
      <c r="E14" s="5">
        <v>4</v>
      </c>
      <c r="F14" s="5">
        <v>4</v>
      </c>
      <c r="G14" s="21" t="s">
        <v>14</v>
      </c>
      <c r="H14" s="8">
        <f>P14-L14</f>
        <v>121</v>
      </c>
      <c r="I14" s="8">
        <f>Q14-L14</f>
        <v>65</v>
      </c>
      <c r="J14" s="1">
        <v>183</v>
      </c>
      <c r="K14" s="12" t="s">
        <v>24</v>
      </c>
      <c r="L14" s="1">
        <v>82</v>
      </c>
      <c r="M14" s="1">
        <v>10</v>
      </c>
      <c r="N14" s="1">
        <v>94.152046783625707</v>
      </c>
      <c r="O14" s="23" t="s">
        <v>37</v>
      </c>
      <c r="P14" s="5">
        <v>203</v>
      </c>
      <c r="Q14" s="5">
        <v>147</v>
      </c>
      <c r="R14" s="36" t="str">
        <f>O14</f>
        <v>56*</v>
      </c>
      <c r="S14" s="33">
        <f t="shared" si="0"/>
        <v>101</v>
      </c>
    </row>
    <row r="15" spans="2:19" x14ac:dyDescent="0.2">
      <c r="B15" s="1" t="s">
        <v>10</v>
      </c>
      <c r="C15" s="1">
        <v>15</v>
      </c>
      <c r="D15" s="1">
        <v>20</v>
      </c>
      <c r="E15" s="1">
        <v>4</v>
      </c>
      <c r="F15" s="1">
        <v>4</v>
      </c>
      <c r="G15" s="21" t="s">
        <v>35</v>
      </c>
      <c r="H15" s="11">
        <f>P15-L15</f>
        <v>189</v>
      </c>
      <c r="I15" s="11">
        <f>Q15-L15</f>
        <v>59</v>
      </c>
      <c r="J15" s="1">
        <v>188</v>
      </c>
      <c r="K15" s="12" t="s">
        <v>24</v>
      </c>
      <c r="L15" s="1">
        <v>91</v>
      </c>
      <c r="M15" s="1">
        <v>15</v>
      </c>
      <c r="N15" s="1">
        <v>91.228070175438503</v>
      </c>
      <c r="O15" s="24" t="s">
        <v>38</v>
      </c>
      <c r="P15" s="1">
        <v>280</v>
      </c>
      <c r="Q15" s="12">
        <v>150</v>
      </c>
      <c r="R15" s="36"/>
      <c r="S15" s="33"/>
    </row>
    <row r="16" spans="2:19" x14ac:dyDescent="0.2">
      <c r="B16" s="1" t="s">
        <v>10</v>
      </c>
      <c r="C16" s="1">
        <v>20</v>
      </c>
      <c r="D16" s="1">
        <v>20</v>
      </c>
      <c r="E16" s="1">
        <v>4</v>
      </c>
      <c r="F16" s="1">
        <v>4</v>
      </c>
      <c r="G16" s="9">
        <v>36</v>
      </c>
      <c r="H16" s="10">
        <v>94</v>
      </c>
      <c r="I16" s="11">
        <v>58</v>
      </c>
      <c r="J16" s="1">
        <v>193</v>
      </c>
      <c r="K16" s="12">
        <v>157</v>
      </c>
      <c r="L16" s="1">
        <v>99</v>
      </c>
      <c r="M16" s="1">
        <v>47</v>
      </c>
      <c r="N16" s="1">
        <v>72.514619883040893</v>
      </c>
      <c r="O16" s="3"/>
      <c r="Q16" s="12"/>
      <c r="R16" s="36"/>
      <c r="S16" s="33"/>
    </row>
    <row r="17" spans="2:19" x14ac:dyDescent="0.2">
      <c r="G17" s="9"/>
      <c r="H17" s="10"/>
      <c r="I17" s="11"/>
      <c r="K17" s="12"/>
      <c r="O17" s="3"/>
      <c r="Q17" s="12"/>
      <c r="R17" s="36"/>
      <c r="S17" s="33"/>
    </row>
    <row r="18" spans="2:19" x14ac:dyDescent="0.2">
      <c r="B18" s="1" t="s">
        <v>11</v>
      </c>
      <c r="C18" s="5">
        <v>10</v>
      </c>
      <c r="D18" s="5">
        <v>20</v>
      </c>
      <c r="E18" s="5">
        <v>4</v>
      </c>
      <c r="F18" s="5">
        <v>4</v>
      </c>
      <c r="G18" s="21" t="s">
        <v>17</v>
      </c>
      <c r="H18" s="8">
        <f>P18-L18</f>
        <v>92</v>
      </c>
      <c r="I18" s="8">
        <f>Q18-L18</f>
        <v>21</v>
      </c>
      <c r="J18" s="1">
        <v>207</v>
      </c>
      <c r="K18" s="12" t="s">
        <v>24</v>
      </c>
      <c r="L18" s="1">
        <v>138</v>
      </c>
      <c r="M18" s="1">
        <v>6</v>
      </c>
      <c r="N18" s="1">
        <v>96.341463414634106</v>
      </c>
      <c r="O18" s="23" t="s">
        <v>39</v>
      </c>
      <c r="P18" s="5">
        <v>230</v>
      </c>
      <c r="Q18" s="5">
        <v>159</v>
      </c>
      <c r="R18" s="36" t="str">
        <f>O18</f>
        <v>71*</v>
      </c>
      <c r="S18" s="33">
        <f>H18-20</f>
        <v>72</v>
      </c>
    </row>
    <row r="19" spans="2:19" x14ac:dyDescent="0.2">
      <c r="B19" s="1" t="s">
        <v>11</v>
      </c>
      <c r="C19" s="1">
        <v>15</v>
      </c>
      <c r="D19" s="1">
        <v>20</v>
      </c>
      <c r="E19" s="1">
        <v>4</v>
      </c>
      <c r="F19" s="1">
        <v>4</v>
      </c>
      <c r="G19" s="9">
        <v>8</v>
      </c>
      <c r="H19" s="10">
        <v>21</v>
      </c>
      <c r="I19" s="10">
        <v>29</v>
      </c>
      <c r="J19" s="1">
        <v>212</v>
      </c>
      <c r="K19" s="12">
        <v>204</v>
      </c>
      <c r="L19" s="1">
        <v>183</v>
      </c>
      <c r="M19" s="1">
        <v>6</v>
      </c>
      <c r="N19" s="1">
        <v>96.341463414634106</v>
      </c>
      <c r="O19" s="3"/>
      <c r="Q19" s="12"/>
      <c r="R19" s="36"/>
      <c r="S19" s="33"/>
    </row>
    <row r="20" spans="2:19" ht="17" thickBot="1" x14ac:dyDescent="0.25">
      <c r="B20" s="1" t="s">
        <v>11</v>
      </c>
      <c r="C20" s="1">
        <v>20</v>
      </c>
      <c r="D20" s="1">
        <v>20</v>
      </c>
      <c r="E20" s="1">
        <v>4</v>
      </c>
      <c r="F20" s="1">
        <v>4</v>
      </c>
      <c r="G20" s="9">
        <v>37</v>
      </c>
      <c r="H20" s="10">
        <v>60</v>
      </c>
      <c r="I20" s="10">
        <v>23</v>
      </c>
      <c r="J20" s="1">
        <v>217</v>
      </c>
      <c r="K20" s="1">
        <v>180</v>
      </c>
      <c r="L20" s="1">
        <v>157</v>
      </c>
      <c r="M20" s="1">
        <v>37</v>
      </c>
      <c r="N20" s="1">
        <v>77.439024390243901</v>
      </c>
      <c r="O20" s="3"/>
      <c r="Q20" s="1"/>
      <c r="R20" s="37"/>
      <c r="S20" s="34"/>
    </row>
    <row r="21" spans="2:19" s="20" customFormat="1" ht="35" thickBot="1" x14ac:dyDescent="0.25">
      <c r="B21" s="28" t="s">
        <v>19</v>
      </c>
      <c r="C21" s="29"/>
      <c r="D21" s="29"/>
      <c r="E21" s="29"/>
      <c r="F21" s="29"/>
      <c r="G21" s="29">
        <v>0</v>
      </c>
      <c r="H21" s="30" t="s">
        <v>34</v>
      </c>
      <c r="I21" s="30" t="s">
        <v>34</v>
      </c>
      <c r="J21" s="31"/>
      <c r="K21" s="31"/>
      <c r="L21" s="31"/>
      <c r="M21" s="31"/>
      <c r="N21" s="31"/>
      <c r="O21" s="31">
        <v>0</v>
      </c>
      <c r="P21" s="18"/>
      <c r="Q21" s="19"/>
      <c r="R21" s="20">
        <v>0</v>
      </c>
      <c r="S21" s="20">
        <v>0</v>
      </c>
    </row>
    <row r="23" spans="2:19" x14ac:dyDescent="0.2">
      <c r="B23" s="6"/>
      <c r="G23" s="14" t="s">
        <v>18</v>
      </c>
      <c r="H23" s="7"/>
      <c r="I23" s="7"/>
      <c r="J23" s="7"/>
      <c r="O23" s="22" t="s">
        <v>36</v>
      </c>
    </row>
    <row r="24" spans="2:19" x14ac:dyDescent="0.2">
      <c r="B24" s="6"/>
      <c r="I24" s="13"/>
      <c r="J24" s="13"/>
      <c r="K24" s="13"/>
      <c r="L24" s="13"/>
    </row>
    <row r="25" spans="2:19" x14ac:dyDescent="0.2">
      <c r="B25" s="6"/>
    </row>
    <row r="27" spans="2:19" x14ac:dyDescent="0.2">
      <c r="B27" s="6"/>
      <c r="I27" s="6"/>
    </row>
  </sheetData>
  <mergeCells count="1">
    <mergeCell ref="R2:S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Gris V</dc:creator>
  <cp:lastModifiedBy>Gris V</cp:lastModifiedBy>
  <dcterms:created xsi:type="dcterms:W3CDTF">2024-10-15T22:14:57Z</dcterms:created>
  <dcterms:modified xsi:type="dcterms:W3CDTF">2024-10-15T22:15:14Z</dcterms:modified>
</cp:coreProperties>
</file>